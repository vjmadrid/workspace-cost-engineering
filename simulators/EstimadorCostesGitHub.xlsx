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jmadrid/Desktop/"/>
    </mc:Choice>
  </mc:AlternateContent>
  <xr:revisionPtr revIDLastSave="0" documentId="13_ncr:1_{0D875496-24DF-2A41-A82E-1558C2815539}" xr6:coauthVersionLast="47" xr6:coauthVersionMax="47" xr10:uidLastSave="{00000000-0000-0000-0000-000000000000}"/>
  <bookViews>
    <workbookView xWindow="35440" yWindow="1080" windowWidth="28040" windowHeight="16680" xr2:uid="{3B8C0FC8-4883-BE4C-9A53-4CF76224E6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2" i="1" l="1"/>
  <c r="O12" i="1"/>
  <c r="N13" i="1"/>
  <c r="O13" i="1"/>
  <c r="N14" i="1"/>
  <c r="O14" i="1"/>
  <c r="N15" i="1"/>
  <c r="O15" i="1"/>
  <c r="N16" i="1"/>
  <c r="O16" i="1"/>
  <c r="O18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E12" i="1"/>
  <c r="F12" i="1"/>
  <c r="G12" i="1"/>
  <c r="H12" i="1"/>
  <c r="E13" i="1"/>
  <c r="F13" i="1"/>
  <c r="G13" i="1"/>
  <c r="H13" i="1"/>
  <c r="E14" i="1"/>
  <c r="F14" i="1"/>
  <c r="G14" i="1"/>
  <c r="H14" i="1"/>
  <c r="E15" i="1"/>
  <c r="F15" i="1"/>
  <c r="G15" i="1"/>
  <c r="H15" i="1"/>
  <c r="E16" i="1"/>
  <c r="F16" i="1"/>
  <c r="G16" i="1"/>
  <c r="H16" i="1"/>
  <c r="D16" i="1"/>
  <c r="D15" i="1"/>
  <c r="D14" i="1"/>
  <c r="D13" i="1"/>
  <c r="D12" i="1"/>
  <c r="D18" i="1"/>
  <c r="J18" i="1" l="1"/>
  <c r="J19" i="1" s="1"/>
  <c r="J20" i="1" s="1"/>
  <c r="K18" i="1"/>
  <c r="K19" i="1" s="1"/>
  <c r="F18" i="1"/>
  <c r="O19" i="1"/>
  <c r="N18" i="1"/>
  <c r="L18" i="1"/>
  <c r="H18" i="1"/>
  <c r="H19" i="1" s="1"/>
  <c r="H20" i="1" s="1"/>
  <c r="G18" i="1"/>
  <c r="G19" i="1" s="1"/>
  <c r="E18" i="1"/>
  <c r="E19" i="1" s="1"/>
  <c r="D19" i="1"/>
  <c r="K20" i="1" l="1"/>
  <c r="F19" i="1"/>
  <c r="O20" i="1"/>
  <c r="N19" i="1"/>
  <c r="N20" i="1" s="1"/>
  <c r="L19" i="1"/>
  <c r="L20" i="1" s="1"/>
  <c r="G20" i="1"/>
  <c r="E20" i="1"/>
  <c r="F20" i="1" l="1"/>
</calcChain>
</file>

<file path=xl/sharedStrings.xml><?xml version="1.0" encoding="utf-8"?>
<sst xmlns="http://schemas.openxmlformats.org/spreadsheetml/2006/main" count="29" uniqueCount="24">
  <si>
    <t>Modelo</t>
  </si>
  <si>
    <t>GPT-5 mini</t>
  </si>
  <si>
    <t>Input</t>
  </si>
  <si>
    <t>Input cache</t>
  </si>
  <si>
    <t>Output</t>
  </si>
  <si>
    <t>Output Cache</t>
  </si>
  <si>
    <t>Thinking</t>
  </si>
  <si>
    <t>GPT-4.1</t>
  </si>
  <si>
    <t>GPT-5.2</t>
  </si>
  <si>
    <t>GPT-5.4</t>
  </si>
  <si>
    <t>GPT-5.5</t>
  </si>
  <si>
    <t>Coste Tokens</t>
  </si>
  <si>
    <t>Coste Total</t>
  </si>
  <si>
    <t>Creditos</t>
  </si>
  <si>
    <t>Coeficientes</t>
  </si>
  <si>
    <t>OPEN AI</t>
  </si>
  <si>
    <t xml:space="preserve">C. Haiku 4.5 </t>
  </si>
  <si>
    <t>Comparativa GPT 5-mini</t>
  </si>
  <si>
    <t>C. Sonnet  4.6</t>
  </si>
  <si>
    <t>C. Opus 4.7</t>
  </si>
  <si>
    <t>Gemini 2.5 pro</t>
  </si>
  <si>
    <t>Gemini 3.1</t>
  </si>
  <si>
    <t>ANTHROPIC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</si>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</sst>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&quot;€&quot;"/>
    <numFmt numFmtId="167" formatCode="[$$-409]#,##0.00"/>
    <numFmt numFmtId="168" formatCode="[$$-409]#,##0.000000"/>
    <numFmt numFmtId="169" formatCode="[$$-409]#,##0.000"/>
    <numFmt numFmtId="170" formatCode="0.0"/>
  </numFmts>
  <fonts count="6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8"/>
      <color theme="0"/>
      <name val="Aptos Narrow"/>
      <scheme val="minor"/>
    </font>
    <font>
      <sz val="18"/>
      <color theme="1"/>
      <name val="Aptos Narrow"/>
      <scheme val="minor"/>
    </font>
    <font>
      <b/>
      <sz val="18"/>
      <color rgb="FFFFFFFF"/>
      <name val="Aptos Narrow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3" fillId="0" borderId="0" xfId="0" applyFont="1"/>
    <xf numFmtId="164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/>
    <xf numFmtId="164" fontId="0" fillId="0" borderId="0" xfId="0" applyNumberFormat="1"/>
    <xf numFmtId="167" fontId="0" fillId="0" borderId="0" xfId="0" applyNumberFormat="1"/>
    <xf numFmtId="0" fontId="0" fillId="4" borderId="0" xfId="0" applyFill="1"/>
    <xf numFmtId="164" fontId="2" fillId="2" borderId="0" xfId="0" applyNumberFormat="1" applyFont="1" applyFill="1"/>
    <xf numFmtId="167" fontId="3" fillId="0" borderId="0" xfId="0" applyNumberFormat="1" applyFont="1"/>
    <xf numFmtId="0" fontId="3" fillId="0" borderId="0" xfId="0" applyNumberFormat="1" applyFont="1"/>
    <xf numFmtId="168" fontId="0" fillId="3" borderId="0" xfId="0" applyNumberFormat="1" applyFill="1"/>
    <xf numFmtId="169" fontId="0" fillId="4" borderId="0" xfId="0" applyNumberFormat="1" applyFill="1"/>
    <xf numFmtId="170" fontId="3" fillId="0" borderId="0" xfId="0" applyNumberFormat="1" applyFont="1"/>
    <xf numFmtId="0" fontId="2" fillId="2" borderId="0" xfId="0" applyFont="1" applyFill="1" applyAlignment="1">
      <alignment horizontal="center"/>
    </xf>
    <xf numFmtId="164" fontId="4" fillId="5" borderId="0" xfId="0" applyNumberFormat="1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1467-14B5-D74E-B911-59F1D38AB5BE}">
  <dimension ref="B4:P21"/>
  <sheetViews>
    <sheetView tabSelected="1" workbookViewId="0">
      <selection activeCell="N4" sqref="N4:O4"/>
    </sheetView>
  </sheetViews>
  <sheetFormatPr baseColWidth="10" defaultRowHeight="16" x14ac:dyDescent="0.2"/>
  <cols>
    <col min="2" max="2" width="15" customWidth="1"/>
    <col min="3" max="3" width="17.83203125" customWidth="1"/>
    <col min="4" max="4" width="14.1640625" customWidth="1"/>
    <col min="5" max="5" width="10.6640625" customWidth="1"/>
    <col min="6" max="6" width="12.33203125" customWidth="1"/>
    <col min="7" max="8" width="12" customWidth="1"/>
    <col min="9" max="9" width="2.1640625" customWidth="1"/>
    <col min="10" max="10" width="15.83203125" customWidth="1"/>
    <col min="11" max="11" width="18.1640625" customWidth="1"/>
    <col min="12" max="12" width="19.33203125" customWidth="1"/>
    <col min="13" max="13" width="2.1640625" customWidth="1"/>
    <col min="14" max="14" width="14.5" customWidth="1"/>
    <col min="15" max="15" width="17.1640625" customWidth="1"/>
    <col min="16" max="16" width="2.33203125" customWidth="1"/>
  </cols>
  <sheetData>
    <row r="4" spans="2:16" ht="24" x14ac:dyDescent="0.3">
      <c r="D4" s="14" t="s">
        <v>15</v>
      </c>
      <c r="E4" s="14"/>
      <c r="F4" s="14"/>
      <c r="G4" s="14"/>
      <c r="H4" s="14"/>
      <c r="I4" s="4"/>
      <c r="J4" s="14" t="s">
        <v>22</v>
      </c>
      <c r="K4" s="14"/>
      <c r="L4" s="14"/>
      <c r="M4" s="4"/>
      <c r="N4" s="14" t="s">
        <v>23</v>
      </c>
      <c r="O4" s="14"/>
      <c r="P4" s="4"/>
    </row>
    <row r="5" spans="2:16" s="2" customFormat="1" ht="24" x14ac:dyDescent="0.3">
      <c r="C5" s="1" t="s">
        <v>0</v>
      </c>
      <c r="D5" s="16" t="s">
        <v>1</v>
      </c>
      <c r="E5" s="16" t="s">
        <v>7</v>
      </c>
      <c r="F5" s="16" t="s">
        <v>8</v>
      </c>
      <c r="G5" s="16" t="s">
        <v>9</v>
      </c>
      <c r="H5" s="16" t="s">
        <v>10</v>
      </c>
      <c r="I5" s="4"/>
      <c r="J5" s="16" t="s">
        <v>16</v>
      </c>
      <c r="K5" s="16" t="s">
        <v>18</v>
      </c>
      <c r="L5" s="16" t="s">
        <v>19</v>
      </c>
      <c r="M5" s="4"/>
      <c r="N5" s="16" t="s">
        <v>20</v>
      </c>
      <c r="O5" s="16" t="s">
        <v>21</v>
      </c>
      <c r="P5" s="4"/>
    </row>
    <row r="6" spans="2:16" s="5" customFormat="1" x14ac:dyDescent="0.2">
      <c r="B6" s="3" t="s">
        <v>11</v>
      </c>
      <c r="C6" s="4" t="s">
        <v>2</v>
      </c>
      <c r="D6" s="12">
        <v>0.25</v>
      </c>
      <c r="E6" s="12">
        <v>2</v>
      </c>
      <c r="F6" s="12">
        <v>1.75</v>
      </c>
      <c r="G6" s="12">
        <v>2.5</v>
      </c>
      <c r="H6" s="12">
        <v>5</v>
      </c>
      <c r="I6" s="4"/>
      <c r="J6" s="12">
        <v>1</v>
      </c>
      <c r="K6" s="12">
        <v>3</v>
      </c>
      <c r="L6" s="12">
        <v>5</v>
      </c>
      <c r="M6" s="4"/>
      <c r="N6" s="12">
        <v>1.25</v>
      </c>
      <c r="O6" s="12">
        <v>2</v>
      </c>
      <c r="P6" s="4"/>
    </row>
    <row r="7" spans="2:16" s="5" customFormat="1" x14ac:dyDescent="0.2">
      <c r="B7" s="3"/>
      <c r="C7" s="4" t="s">
        <v>3</v>
      </c>
      <c r="D7" s="12">
        <v>2.5000000000000001E-2</v>
      </c>
      <c r="E7" s="12">
        <v>0.5</v>
      </c>
      <c r="F7" s="12">
        <v>0.17499999999999999</v>
      </c>
      <c r="G7" s="12">
        <v>0.25</v>
      </c>
      <c r="H7" s="12">
        <v>0.5</v>
      </c>
      <c r="I7" s="4"/>
      <c r="J7" s="12">
        <v>0.1</v>
      </c>
      <c r="K7" s="12">
        <v>0.3</v>
      </c>
      <c r="L7" s="12">
        <v>0.5</v>
      </c>
      <c r="M7" s="4"/>
      <c r="N7" s="12">
        <v>0.125</v>
      </c>
      <c r="O7" s="12">
        <v>0.2</v>
      </c>
      <c r="P7" s="4"/>
    </row>
    <row r="8" spans="2:16" s="5" customFormat="1" x14ac:dyDescent="0.2">
      <c r="B8" s="3"/>
      <c r="C8" s="4" t="s">
        <v>4</v>
      </c>
      <c r="D8" s="12">
        <v>2</v>
      </c>
      <c r="E8" s="12">
        <v>8</v>
      </c>
      <c r="F8" s="12">
        <v>14</v>
      </c>
      <c r="G8" s="12">
        <v>15</v>
      </c>
      <c r="H8" s="12">
        <v>30</v>
      </c>
      <c r="I8" s="4"/>
      <c r="J8" s="12">
        <v>5</v>
      </c>
      <c r="K8" s="12">
        <v>15</v>
      </c>
      <c r="L8" s="12">
        <v>25</v>
      </c>
      <c r="M8" s="4"/>
      <c r="N8" s="12">
        <v>10</v>
      </c>
      <c r="O8" s="12">
        <v>12</v>
      </c>
      <c r="P8" s="4"/>
    </row>
    <row r="9" spans="2:16" s="5" customFormat="1" x14ac:dyDescent="0.2">
      <c r="B9" s="3"/>
      <c r="C9" s="4" t="s">
        <v>5</v>
      </c>
      <c r="D9" s="12"/>
      <c r="E9" s="12"/>
      <c r="F9" s="12"/>
      <c r="G9" s="12"/>
      <c r="H9" s="12"/>
      <c r="I9" s="4"/>
      <c r="J9" s="12">
        <v>1.25</v>
      </c>
      <c r="K9" s="12">
        <v>3.75</v>
      </c>
      <c r="L9" s="12">
        <v>6.25</v>
      </c>
      <c r="M9" s="4"/>
      <c r="N9" s="12"/>
      <c r="O9" s="12"/>
      <c r="P9" s="4"/>
    </row>
    <row r="10" spans="2:16" s="5" customFormat="1" x14ac:dyDescent="0.2">
      <c r="B10" s="3"/>
      <c r="C10" s="4" t="s">
        <v>6</v>
      </c>
      <c r="D10" s="12">
        <v>2</v>
      </c>
      <c r="E10" s="12">
        <v>8</v>
      </c>
      <c r="F10" s="12">
        <v>14</v>
      </c>
      <c r="G10" s="12">
        <v>15</v>
      </c>
      <c r="H10" s="12">
        <v>30</v>
      </c>
      <c r="I10" s="4"/>
      <c r="J10" s="12">
        <v>5</v>
      </c>
      <c r="K10" s="12">
        <v>15</v>
      </c>
      <c r="L10" s="12">
        <v>25</v>
      </c>
      <c r="M10" s="4"/>
      <c r="N10" s="12">
        <v>10</v>
      </c>
      <c r="O10" s="12">
        <v>12</v>
      </c>
      <c r="P10" s="4"/>
    </row>
    <row r="11" spans="2:16" x14ac:dyDescent="0.2">
      <c r="I11" s="4"/>
      <c r="M11" s="4"/>
      <c r="P11" s="4"/>
    </row>
    <row r="12" spans="2:16" x14ac:dyDescent="0.2">
      <c r="B12" s="4" t="s">
        <v>2</v>
      </c>
      <c r="C12" s="7">
        <v>20000</v>
      </c>
      <c r="D12" s="11">
        <f>($C12*D6) / 1000000</f>
        <v>5.0000000000000001E-3</v>
      </c>
      <c r="E12" s="11">
        <f t="shared" ref="E12:H12" si="0">($C12*E6) / 1000000</f>
        <v>0.04</v>
      </c>
      <c r="F12" s="11">
        <f t="shared" si="0"/>
        <v>3.5000000000000003E-2</v>
      </c>
      <c r="G12" s="11">
        <f t="shared" si="0"/>
        <v>0.05</v>
      </c>
      <c r="H12" s="11">
        <f t="shared" si="0"/>
        <v>0.1</v>
      </c>
      <c r="I12" s="4"/>
      <c r="J12" s="11">
        <f t="shared" ref="J12:L12" si="1">($C12*J6) / 1000000</f>
        <v>0.02</v>
      </c>
      <c r="K12" s="11">
        <f t="shared" si="1"/>
        <v>0.06</v>
      </c>
      <c r="L12" s="11">
        <f t="shared" si="1"/>
        <v>0.1</v>
      </c>
      <c r="M12" s="4"/>
      <c r="N12" s="11">
        <f t="shared" ref="N12:O12" si="2">($C12*N6) / 1000000</f>
        <v>2.5000000000000001E-2</v>
      </c>
      <c r="O12" s="11">
        <f t="shared" si="2"/>
        <v>0.04</v>
      </c>
      <c r="P12" s="4"/>
    </row>
    <row r="13" spans="2:16" x14ac:dyDescent="0.2">
      <c r="B13" s="4" t="s">
        <v>3</v>
      </c>
      <c r="C13" s="7">
        <v>0</v>
      </c>
      <c r="D13" s="11">
        <f>($C13*D7) / 1000000</f>
        <v>0</v>
      </c>
      <c r="E13" s="11">
        <f t="shared" ref="E13:H13" si="3">($C13*E7) / 1000000</f>
        <v>0</v>
      </c>
      <c r="F13" s="11">
        <f t="shared" si="3"/>
        <v>0</v>
      </c>
      <c r="G13" s="11">
        <f t="shared" si="3"/>
        <v>0</v>
      </c>
      <c r="H13" s="11">
        <f t="shared" si="3"/>
        <v>0</v>
      </c>
      <c r="I13" s="4"/>
      <c r="J13" s="11">
        <f t="shared" ref="J13:L13" si="4">($C13*J7) / 1000000</f>
        <v>0</v>
      </c>
      <c r="K13" s="11">
        <f t="shared" si="4"/>
        <v>0</v>
      </c>
      <c r="L13" s="11">
        <f t="shared" si="4"/>
        <v>0</v>
      </c>
      <c r="M13" s="4"/>
      <c r="N13" s="11">
        <f t="shared" ref="N13:O13" si="5">($C13*N7) / 1000000</f>
        <v>0</v>
      </c>
      <c r="O13" s="11">
        <f t="shared" si="5"/>
        <v>0</v>
      </c>
      <c r="P13" s="4"/>
    </row>
    <row r="14" spans="2:16" x14ac:dyDescent="0.2">
      <c r="B14" s="4" t="s">
        <v>4</v>
      </c>
      <c r="C14" s="7">
        <v>5000</v>
      </c>
      <c r="D14" s="11">
        <f>($C14*D8) / 1000000</f>
        <v>0.01</v>
      </c>
      <c r="E14" s="11">
        <f t="shared" ref="E14:H14" si="6">($C14*E8) / 1000000</f>
        <v>0.04</v>
      </c>
      <c r="F14" s="11">
        <f t="shared" si="6"/>
        <v>7.0000000000000007E-2</v>
      </c>
      <c r="G14" s="11">
        <f t="shared" si="6"/>
        <v>7.4999999999999997E-2</v>
      </c>
      <c r="H14" s="11">
        <f t="shared" si="6"/>
        <v>0.15</v>
      </c>
      <c r="I14" s="4"/>
      <c r="J14" s="11">
        <f t="shared" ref="J14:L14" si="7">($C14*J8) / 1000000</f>
        <v>2.5000000000000001E-2</v>
      </c>
      <c r="K14" s="11">
        <f t="shared" si="7"/>
        <v>7.4999999999999997E-2</v>
      </c>
      <c r="L14" s="11">
        <f t="shared" si="7"/>
        <v>0.125</v>
      </c>
      <c r="M14" s="4"/>
      <c r="N14" s="11">
        <f t="shared" ref="N14:O14" si="8">($C14*N8) / 1000000</f>
        <v>0.05</v>
      </c>
      <c r="O14" s="11">
        <f t="shared" si="8"/>
        <v>0.06</v>
      </c>
      <c r="P14" s="4"/>
    </row>
    <row r="15" spans="2:16" x14ac:dyDescent="0.2">
      <c r="B15" s="4" t="s">
        <v>5</v>
      </c>
      <c r="C15" s="7">
        <v>0</v>
      </c>
      <c r="D15" s="11">
        <f>($C15*D9) / 1000000</f>
        <v>0</v>
      </c>
      <c r="E15" s="11">
        <f t="shared" ref="E15:H15" si="9">($C15*E9) / 1000000</f>
        <v>0</v>
      </c>
      <c r="F15" s="11">
        <f t="shared" si="9"/>
        <v>0</v>
      </c>
      <c r="G15" s="11">
        <f t="shared" si="9"/>
        <v>0</v>
      </c>
      <c r="H15" s="11">
        <f t="shared" si="9"/>
        <v>0</v>
      </c>
      <c r="I15" s="4"/>
      <c r="J15" s="11">
        <f t="shared" ref="J15:L15" si="10">($C15*J9) / 1000000</f>
        <v>0</v>
      </c>
      <c r="K15" s="11">
        <f t="shared" si="10"/>
        <v>0</v>
      </c>
      <c r="L15" s="11">
        <f t="shared" si="10"/>
        <v>0</v>
      </c>
      <c r="M15" s="4"/>
      <c r="N15" s="11">
        <f t="shared" ref="N15:O15" si="11">($C15*N9) / 1000000</f>
        <v>0</v>
      </c>
      <c r="O15" s="11">
        <f t="shared" si="11"/>
        <v>0</v>
      </c>
      <c r="P15" s="4"/>
    </row>
    <row r="16" spans="2:16" x14ac:dyDescent="0.2">
      <c r="B16" s="4" t="s">
        <v>6</v>
      </c>
      <c r="C16" s="7">
        <v>0</v>
      </c>
      <c r="D16" s="11">
        <f>($C16*D10) / 1000000</f>
        <v>0</v>
      </c>
      <c r="E16" s="11">
        <f t="shared" ref="E16:H16" si="12">($C16*E10) / 1000000</f>
        <v>0</v>
      </c>
      <c r="F16" s="11">
        <f t="shared" si="12"/>
        <v>0</v>
      </c>
      <c r="G16" s="11">
        <f t="shared" si="12"/>
        <v>0</v>
      </c>
      <c r="H16" s="11">
        <f t="shared" si="12"/>
        <v>0</v>
      </c>
      <c r="I16" s="4"/>
      <c r="J16" s="11">
        <f t="shared" ref="J16:L16" si="13">($C16*J10) / 1000000</f>
        <v>0</v>
      </c>
      <c r="K16" s="11">
        <f t="shared" si="13"/>
        <v>0</v>
      </c>
      <c r="L16" s="11">
        <f t="shared" si="13"/>
        <v>0</v>
      </c>
      <c r="M16" s="4"/>
      <c r="N16" s="11">
        <f t="shared" ref="N16:O16" si="14">($C16*N10) / 1000000</f>
        <v>0</v>
      </c>
      <c r="O16" s="11">
        <f t="shared" si="14"/>
        <v>0</v>
      </c>
      <c r="P16" s="4"/>
    </row>
    <row r="17" spans="3:16" x14ac:dyDescent="0.2">
      <c r="D17" s="6"/>
      <c r="I17" s="4"/>
      <c r="M17" s="4"/>
      <c r="P17" s="4"/>
    </row>
    <row r="18" spans="3:16" s="2" customFormat="1" ht="24" x14ac:dyDescent="0.3">
      <c r="C18" s="8" t="s">
        <v>12</v>
      </c>
      <c r="D18" s="9">
        <f>SUM(D12:D17)</f>
        <v>1.4999999999999999E-2</v>
      </c>
      <c r="E18" s="9">
        <f t="shared" ref="E18:H20" si="15">SUM(E12:E17)</f>
        <v>0.08</v>
      </c>
      <c r="F18" s="9">
        <f t="shared" si="15"/>
        <v>0.10500000000000001</v>
      </c>
      <c r="G18" s="9">
        <f t="shared" si="15"/>
        <v>0.125</v>
      </c>
      <c r="H18" s="9">
        <f t="shared" si="15"/>
        <v>0.25</v>
      </c>
      <c r="I18" s="4"/>
      <c r="J18" s="9">
        <f t="shared" ref="J18" si="16">SUM(J12:J17)</f>
        <v>4.4999999999999998E-2</v>
      </c>
      <c r="K18" s="9">
        <f t="shared" ref="K18" si="17">SUM(K12:K17)</f>
        <v>0.13500000000000001</v>
      </c>
      <c r="L18" s="9">
        <f t="shared" ref="L18" si="18">SUM(L12:L17)</f>
        <v>0.22500000000000001</v>
      </c>
      <c r="M18" s="4"/>
      <c r="N18" s="9">
        <f t="shared" ref="N18" si="19">SUM(N12:N17)</f>
        <v>7.5000000000000011E-2</v>
      </c>
      <c r="O18" s="9">
        <f t="shared" ref="O18" si="20">SUM(O12:O17)</f>
        <v>0.1</v>
      </c>
      <c r="P18" s="4"/>
    </row>
    <row r="19" spans="3:16" s="2" customFormat="1" ht="24" x14ac:dyDescent="0.3">
      <c r="C19" s="8" t="s">
        <v>13</v>
      </c>
      <c r="D19" s="10">
        <f>D18*100</f>
        <v>1.5</v>
      </c>
      <c r="E19" s="10">
        <f t="shared" ref="E19:H19" si="21">E18*100</f>
        <v>8</v>
      </c>
      <c r="F19" s="10">
        <f t="shared" si="21"/>
        <v>10.500000000000002</v>
      </c>
      <c r="G19" s="10">
        <f t="shared" si="21"/>
        <v>12.5</v>
      </c>
      <c r="H19" s="10">
        <f t="shared" si="21"/>
        <v>25</v>
      </c>
      <c r="I19" s="4"/>
      <c r="J19" s="10">
        <f t="shared" ref="J19" si="22">J18*100</f>
        <v>4.5</v>
      </c>
      <c r="K19" s="10">
        <f t="shared" ref="K19" si="23">K18*100</f>
        <v>13.5</v>
      </c>
      <c r="L19" s="10">
        <f t="shared" ref="L19" si="24">L18*100</f>
        <v>22.5</v>
      </c>
      <c r="M19" s="4"/>
      <c r="N19" s="10">
        <f t="shared" ref="N19" si="25">N18*100</f>
        <v>7.5000000000000009</v>
      </c>
      <c r="O19" s="10">
        <f t="shared" ref="O19" si="26">O18*100</f>
        <v>10</v>
      </c>
      <c r="P19" s="4"/>
    </row>
    <row r="20" spans="3:16" ht="24" x14ac:dyDescent="0.3">
      <c r="C20" s="8" t="s">
        <v>14</v>
      </c>
      <c r="D20" s="13">
        <v>1</v>
      </c>
      <c r="E20" s="13">
        <f t="shared" ref="E20:G20" si="27">E19/$D19</f>
        <v>5.333333333333333</v>
      </c>
      <c r="F20" s="13">
        <f t="shared" si="27"/>
        <v>7.0000000000000009</v>
      </c>
      <c r="G20" s="13">
        <f t="shared" si="27"/>
        <v>8.3333333333333339</v>
      </c>
      <c r="H20" s="13">
        <f>H19/$D19</f>
        <v>16.666666666666668</v>
      </c>
      <c r="I20" s="4"/>
      <c r="J20" s="13">
        <f t="shared" ref="J20:L20" si="28">J19/$D19</f>
        <v>3</v>
      </c>
      <c r="K20" s="13">
        <f t="shared" si="28"/>
        <v>9</v>
      </c>
      <c r="L20" s="13">
        <f t="shared" si="28"/>
        <v>15</v>
      </c>
      <c r="M20" s="4"/>
      <c r="N20" s="13">
        <f t="shared" ref="N20" si="29">N19/$D19</f>
        <v>5.0000000000000009</v>
      </c>
      <c r="O20" s="13">
        <f t="shared" ref="O20" si="30">O19/$D19</f>
        <v>6.666666666666667</v>
      </c>
      <c r="P20" s="4"/>
    </row>
    <row r="21" spans="3:16" ht="24" x14ac:dyDescent="0.3">
      <c r="C21" s="15" t="s">
        <v>17</v>
      </c>
      <c r="I21" s="4"/>
      <c r="M21" s="4"/>
      <c r="P21" s="4"/>
    </row>
  </sheetData>
  <mergeCells count="4">
    <mergeCell ref="B6:B10"/>
    <mergeCell ref="D4:H4"/>
    <mergeCell ref="J4:L4"/>
    <mergeCell ref="N4:O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JAVIE MADRID TRIVIÑO</dc:creator>
  <cp:lastModifiedBy>VICTOR JAVIE MADRID TRIVIÑO</cp:lastModifiedBy>
  <dcterms:created xsi:type="dcterms:W3CDTF">2026-05-14T13:40:17Z</dcterms:created>
  <dcterms:modified xsi:type="dcterms:W3CDTF">2026-05-14T15:31:30Z</dcterms:modified>
</cp:coreProperties>
</file>